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五年配置方案" sheetId="1" state="visible" r:id="rId2"/>
    <sheet name="执行与再平衡" sheetId="2" state="visible" r:id="rId3"/>
    <sheet name="趋势与资产映射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<sst xmlns="http://schemas.openxmlformats.org/spreadsheetml/2006/main" count="137" uniqueCount="126">
  <si>
    <t xml:space="preserve">中国资产五年配置方案（A股+港股）｜均衡型｜存量调整+增量定投</t>
  </si>
  <si>
    <t xml:space="preserve">基准日 2026-09-18　标的仅为例举，用于说明方向，不构成投资建议</t>
  </si>
  <si>
    <t xml:space="preserve">资产类别</t>
  </si>
  <si>
    <t xml:space="preserve">配置方向</t>
  </si>
  <si>
    <t xml:space="preserve">核心逻辑（对应五年趋势）</t>
  </si>
  <si>
    <t xml:space="preserve">目标比例</t>
  </si>
  <si>
    <t xml:space="preserve">参考标的</t>
  </si>
  <si>
    <t xml:space="preserve">当前观察（截至2026-09-18）</t>
  </si>
  <si>
    <t xml:space="preserve">存量动作</t>
  </si>
  <si>
    <t xml:space="preserve">增量定投权重</t>
  </si>
  <si>
    <t xml:space="preserve">核心底仓</t>
  </si>
  <si>
    <t xml:space="preserve">A股核心宽基</t>
  </si>
  <si>
    <t xml:space="preserve">增长中枢下移（IMF 3.1%/OECD 2.8%），押注龙头盈利韧性与估值修复</t>
  </si>
  <si>
    <t xml:space="preserve">沪深300ETF sh510300、中证A500ETF</t>
  </si>
  <si>
    <t xml:space="preserve">沪深300ETF 4.582元，年内-1.0%，近60日-6.6%，自52周高点回落约10%</t>
  </si>
  <si>
    <t xml:space="preserve">低于目标则补足至目标比例</t>
  </si>
  <si>
    <t xml:space="preserve">红利 / 自由现金流</t>
  </si>
  <si>
    <t xml:space="preserve">低增长+高波动环境，现金流与股息是组合压舱石</t>
  </si>
  <si>
    <t xml:space="preserve">中证红利ETF、自由现金流ETF</t>
  </si>
  <si>
    <t xml:space="preserve">低利率环境下股息吸引力抬升</t>
  </si>
  <si>
    <t xml:space="preserve">优先补足，作为底仓第一顺位</t>
  </si>
  <si>
    <t xml:space="preserve">进攻</t>
  </si>
  <si>
    <t xml:space="preserve">港股科技 / 互联网</t>
  </si>
  <si>
    <t xml:space="preserve">AI从模型竞争转入应用与算力兑现，港股是中国AI资产主战场之一</t>
  </si>
  <si>
    <t xml:space="preserve">恒生科技ETF、港股互联网ETF</t>
  </si>
  <si>
    <t xml:space="preserve">受全球流动性预期与AI资本开支影响，波动大</t>
  </si>
  <si>
    <t xml:space="preserve">维持；单月跌幅超8%时加仓</t>
  </si>
  <si>
    <t xml:space="preserve">半导体 / AI算力硬件</t>
  </si>
  <si>
    <t xml:space="preserve">算力自主+国产替代，先进制程与设备是地缘竞争交汇点</t>
  </si>
  <si>
    <t xml:space="preserve">科创芯片ETF、半导体设备ETF</t>
  </si>
  <si>
    <t xml:space="preserve">受出口管制与资本开支周期双重驱动</t>
  </si>
  <si>
    <t xml:space="preserve">逢大幅回调分批建仓</t>
  </si>
  <si>
    <t xml:space="preserve">创新药（A股+港股）</t>
  </si>
  <si>
    <t xml:space="preserve">老龄化推动健康与照护需求，创新药出海BD进入兑现期</t>
  </si>
  <si>
    <t xml:space="preserve">创新药ETF sz159992、港股创新药ETF sh513120</t>
  </si>
  <si>
    <t xml:space="preserve">港股创新药近60日+28.0%、年内+8.3%；A股创新药近60日+10.9%、年内+0.5%</t>
  </si>
  <si>
    <t xml:space="preserve">港股部分已强势，不追高；A股部分补足</t>
  </si>
  <si>
    <t xml:space="preserve">稳健</t>
  </si>
  <si>
    <t xml:space="preserve">电力 / 电网设备 / 公用</t>
  </si>
  <si>
    <t xml:space="preserve">电力需求增速超过总能源需求，电网与储能是AI与电气化的硬瓶颈</t>
  </si>
  <si>
    <t xml:space="preserve">电力ETF sz159611、电网设备ETF</t>
  </si>
  <si>
    <t xml:space="preserve">电力ETF 1.04元，年内+3.9%，近60日+0.8%，回调中抗跌</t>
  </si>
  <si>
    <t xml:space="preserve">加至目标，逢回调优先配置</t>
  </si>
  <si>
    <t xml:space="preserve">黄金 + 关键矿产</t>
  </si>
  <si>
    <t xml:space="preserve">地缘安全化、通胀尾部风险与矿产供应集中度上升的对冲</t>
  </si>
  <si>
    <t xml:space="preserve">黄金ETF、有色金属ETF sh512400</t>
  </si>
  <si>
    <t xml:space="preserve">有色ETF 1.732元，年内-6.2%，近60日-1.5%，自52周高点明显回落</t>
  </si>
  <si>
    <t xml:space="preserve">黄金优先于有色；有色等企稳</t>
  </si>
  <si>
    <t xml:space="preserve">军工 / 国家安全</t>
  </si>
  <si>
    <t xml:space="preserve">全球军费连续第11年增长、占GDP达2.5%，安全投入结构性上升</t>
  </si>
  <si>
    <t xml:space="preserve">军工ETF sh512660</t>
  </si>
  <si>
    <t xml:space="preserve">受订单节奏与事件驱动，波动大</t>
  </si>
  <si>
    <t xml:space="preserve">维持标配，不做事件性押注</t>
  </si>
  <si>
    <t xml:space="preserve">现金</t>
  </si>
  <si>
    <t xml:space="preserve">货币 / 短债</t>
  </si>
  <si>
    <t xml:space="preserve">定投弹药与再平衡缓冲，避免被动低位卖出</t>
  </si>
  <si>
    <t xml:space="preserve">货币ETF、短债基金</t>
  </si>
  <si>
    <t xml:space="preserve">—</t>
  </si>
  <si>
    <t xml:space="preserve">保留不低于5%</t>
  </si>
  <si>
    <t xml:space="preserve">合计</t>
  </si>
  <si>
    <t xml:space="preserve">存量调整与增量定投执行规则</t>
  </si>
  <si>
    <t xml:space="preserve">环节</t>
  </si>
  <si>
    <t xml:space="preserve">规则</t>
  </si>
  <si>
    <t xml:space="preserve">说明</t>
  </si>
  <si>
    <t xml:space="preserve">存量调整周期</t>
  </si>
  <si>
    <t xml:space="preserve">3—6个月分批完成，每月调仓不超过总仓位的20%</t>
  </si>
  <si>
    <t xml:space="preserve">避免在单一时点完成换仓，降低择时风险</t>
  </si>
  <si>
    <t xml:space="preserve">减仓优先级</t>
  </si>
  <si>
    <t xml:space="preserve">先减「高位+高估+无现金流」资产，后减基本面恶化资产</t>
  </si>
  <si>
    <t xml:space="preserve">已大幅上涨的方向（如近60日涨幅超25%者）不追加，先兑现部分</t>
  </si>
  <si>
    <t xml:space="preserve">加仓优先级</t>
  </si>
  <si>
    <t xml:space="preserve">先补核心底仓（宽基+红利），再补稳健方向（电力、黄金）</t>
  </si>
  <si>
    <t xml:space="preserve">底仓到位后再提升进攻仓位，避免组合波动过大</t>
  </si>
  <si>
    <t xml:space="preserve">定投频率</t>
  </si>
  <si>
    <t xml:space="preserve">按月定投，按定投权重分配到各方向</t>
  </si>
  <si>
    <t xml:space="preserve">权重见「五年配置方案」最后一列</t>
  </si>
  <si>
    <t xml:space="preserve">定投偏离规则</t>
  </si>
  <si>
    <t xml:space="preserve">某方向近60日涨幅&gt;20%，当月该方向定投减半；跌幅&gt;15%，当月加倍</t>
  </si>
  <si>
    <t xml:space="preserve">机械化执行，避免情绪化追涨杀跌</t>
  </si>
  <si>
    <t xml:space="preserve">再平衡触发</t>
  </si>
  <si>
    <t xml:space="preserve">半年一次检查，或单一方向偏离目标比例±5个百分点时触发</t>
  </si>
  <si>
    <t xml:space="preserve">回到目标比例，卖出超配、买入低配</t>
  </si>
  <si>
    <t xml:space="preserve">现金底线</t>
  </si>
  <si>
    <t xml:space="preserve">任何时点现金及货币类不低于5%</t>
  </si>
  <si>
    <t xml:space="preserve">保证有弹药应对极端回撤</t>
  </si>
  <si>
    <t xml:space="preserve">风险控制</t>
  </si>
  <si>
    <t xml:space="preserve">单一方向不超过总仓位20%，单一行业主题合计不超过30%</t>
  </si>
  <si>
    <t xml:space="preserve">防止主题过度集中</t>
  </si>
  <si>
    <t xml:space="preserve">复盘频率</t>
  </si>
  <si>
    <t xml:space="preserve">每季度复盘一次逻辑是否成立，而非只看净值</t>
  </si>
  <si>
    <t xml:space="preserve">逻辑破坏（如政策、竞争格局变化）比短期亏损更应触发调整</t>
  </si>
  <si>
    <t xml:space="preserve">五年全球趋势 → 中国资产配置方向映射</t>
  </si>
  <si>
    <t xml:space="preserve">五年趋势判断</t>
  </si>
  <si>
    <t xml:space="preserve">关键依据</t>
  </si>
  <si>
    <t xml:space="preserve">对应配置方向</t>
  </si>
  <si>
    <t xml:space="preserve">确定性</t>
  </si>
  <si>
    <t xml:space="preserve">全球增长中枢下移，3%左右成常态</t>
  </si>
  <si>
    <t xml:space="preserve">IMF 2026年3.1%、OECD 2.8%、世行2.5%，均低于2000—2019年约3.7%</t>
  </si>
  <si>
    <t xml:space="preserve">红利/自由现金流、核心宽基</t>
  </si>
  <si>
    <t xml:space="preserve">高</t>
  </si>
  <si>
    <t xml:space="preserve">通胀回落不顺畅，政策空间受债务约束</t>
  </si>
  <si>
    <t xml:space="preserve">全球通胀2025年4.1%→2026年4.4%，2027年3.7%</t>
  </si>
  <si>
    <t xml:space="preserve">黄金、短久期高现金流资产</t>
  </si>
  <si>
    <t xml:space="preserve">AI从模型竞赛转向算力、电力与治理约束</t>
  </si>
  <si>
    <t xml:space="preserve">2025年美国私人AI投资2859亿美元，组织采用率88%，AI事故233→362起</t>
  </si>
  <si>
    <t xml:space="preserve">港股科技、半导体/算力硬件、电力设备</t>
  </si>
  <si>
    <t xml:space="preserve">电力需求增速超过总能源需求，电网成瓶颈</t>
  </si>
  <si>
    <t xml:space="preserve">IEA《世界能源展望2025》：所有情景中电力需求增速均超总能源需求</t>
  </si>
  <si>
    <t xml:space="preserve">电力/电网设备/公用事业、储能</t>
  </si>
  <si>
    <t xml:space="preserve">老龄化与少子化重塑需求结构</t>
  </si>
  <si>
    <t xml:space="preserve">全球女性平均生育子女数降至约2.25，63个国家和地区人口已见顶</t>
  </si>
  <si>
    <t xml:space="preserve">创新药、医疗健康、银发消费</t>
  </si>
  <si>
    <t xml:space="preserve">安全化与军费开支结构性上升</t>
  </si>
  <si>
    <t xml:space="preserve">2025年全球军费2.887万亿美元，连续第11年增长，占GDP 2.5%</t>
  </si>
  <si>
    <t xml:space="preserve">军工/国家安全</t>
  </si>
  <si>
    <t xml:space="preserve">中高</t>
  </si>
  <si>
    <t xml:space="preserve">关键矿产与供应链区域化</t>
  </si>
  <si>
    <t xml:space="preserve">IEA：关键矿产供应集中度构成能源安全风险；供应链从单一成本最优转向多区域</t>
  </si>
  <si>
    <t xml:space="preserve">有色金属、资源类</t>
  </si>
  <si>
    <t xml:space="preserve">中</t>
  </si>
  <si>
    <t xml:space="preserve">气候目标与落实存在数量级差距</t>
  </si>
  <si>
    <t xml:space="preserve">全面落实NDC仍升温2.3—2.5°C，现行政策估算2.8°C</t>
  </si>
  <si>
    <t xml:space="preserve">电力设备、新能源（需精选，产能过剩环节回避）</t>
  </si>
  <si>
    <t xml:space="preserve">贸易增速长期低于疫情前</t>
  </si>
  <si>
    <t xml:space="preserve">WTO：2026年货物贸易量增速1.9%（2025年4.6%）</t>
  </si>
  <si>
    <t xml:space="preserve">以内需驱动为主的方向优先于出口链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</si>
</sst>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WenQuanYi Micro Hei"/>
      <family val="0"/>
      <charset val="1"/>
    </font>
    <font>
      <sz val="9"/>
      <color rgb="FF595959"/>
      <name val="WenQuanYi Micro Hei"/>
      <family val="0"/>
      <charset val="1"/>
    </font>
    <font>
      <b val="true"/>
      <sz val="10"/>
      <color rgb="FFFFFFFF"/>
      <name val="WenQuanYi Micro Hei"/>
      <family val="0"/>
      <charset val="1"/>
    </font>
    <font>
      <sz val="10"/>
      <name val="WenQuanYi Micro He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.01"/>
    <col collapsed="false" customWidth="true" hidden="false" outlineLevel="0" max="3" min="3" style="0" width="44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40"/>
    <col collapsed="false" customWidth="true" hidden="false" outlineLevel="0" max="7" min="7" style="0" width="26"/>
    <col collapsed="false" customWidth="true" hidden="false" outlineLevel="0" max="8" min="8" style="0" width="11.99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45.75" hidden="false" customHeight="true" outlineLevel="0" collapsed="false">
      <c r="A5" s="4" t="s">
        <v>10</v>
      </c>
      <c r="B5" s="5" t="s">
        <v>11</v>
      </c>
      <c r="C5" s="6" t="s">
        <v>12</v>
      </c>
      <c r="D5" s="7" t="n">
        <v>0.2</v>
      </c>
      <c r="E5" s="8" t="s">
        <v>13</v>
      </c>
      <c r="F5" s="6" t="s">
        <v>14</v>
      </c>
      <c r="G5" s="6" t="s">
        <v>15</v>
      </c>
      <c r="H5" s="7" t="n">
        <v>0.2</v>
      </c>
    </row>
    <row r="6" customFormat="false" ht="45.75" hidden="false" customHeight="true" outlineLevel="0" collapsed="false">
      <c r="A6" s="4" t="s">
        <v>10</v>
      </c>
      <c r="B6" s="5" t="s">
        <v>16</v>
      </c>
      <c r="C6" s="6" t="s">
        <v>17</v>
      </c>
      <c r="D6" s="7" t="n">
        <v>0.15</v>
      </c>
      <c r="E6" s="8" t="s">
        <v>18</v>
      </c>
      <c r="F6" s="6" t="s">
        <v>19</v>
      </c>
      <c r="G6" s="6" t="s">
        <v>20</v>
      </c>
      <c r="H6" s="7" t="n">
        <v>0.12</v>
      </c>
    </row>
    <row r="7" customFormat="false" ht="45.75" hidden="false" customHeight="true" outlineLevel="0" collapsed="false">
      <c r="A7" s="4" t="s">
        <v>21</v>
      </c>
      <c r="B7" s="5" t="s">
        <v>22</v>
      </c>
      <c r="C7" s="6" t="s">
        <v>23</v>
      </c>
      <c r="D7" s="7" t="n">
        <v>0.15</v>
      </c>
      <c r="E7" s="8" t="s">
        <v>24</v>
      </c>
      <c r="F7" s="6" t="s">
        <v>25</v>
      </c>
      <c r="G7" s="6" t="s">
        <v>26</v>
      </c>
      <c r="H7" s="7" t="n">
        <v>0.18</v>
      </c>
    </row>
    <row r="8" customFormat="false" ht="45.75" hidden="false" customHeight="true" outlineLevel="0" collapsed="false">
      <c r="A8" s="4" t="s">
        <v>21</v>
      </c>
      <c r="B8" s="5" t="s">
        <v>27</v>
      </c>
      <c r="C8" s="6" t="s">
        <v>28</v>
      </c>
      <c r="D8" s="7" t="n">
        <v>0.1</v>
      </c>
      <c r="E8" s="8" t="s">
        <v>29</v>
      </c>
      <c r="F8" s="6" t="s">
        <v>30</v>
      </c>
      <c r="G8" s="6" t="s">
        <v>31</v>
      </c>
      <c r="H8" s="7" t="n">
        <v>0.12</v>
      </c>
    </row>
    <row r="9" customFormat="false" ht="45.75" hidden="false" customHeight="true" outlineLevel="0" collapsed="false">
      <c r="A9" s="4" t="s">
        <v>21</v>
      </c>
      <c r="B9" s="5" t="s">
        <v>32</v>
      </c>
      <c r="C9" s="6" t="s">
        <v>33</v>
      </c>
      <c r="D9" s="7" t="n">
        <v>0.1</v>
      </c>
      <c r="E9" s="8" t="s">
        <v>34</v>
      </c>
      <c r="F9" s="6" t="s">
        <v>35</v>
      </c>
      <c r="G9" s="6" t="s">
        <v>36</v>
      </c>
      <c r="H9" s="7" t="n">
        <v>0.12</v>
      </c>
    </row>
    <row r="10" customFormat="false" ht="45.75" hidden="false" customHeight="true" outlineLevel="0" collapsed="false">
      <c r="A10" s="4" t="s">
        <v>37</v>
      </c>
      <c r="B10" s="5" t="s">
        <v>38</v>
      </c>
      <c r="C10" s="6" t="s">
        <v>39</v>
      </c>
      <c r="D10" s="7" t="n">
        <v>0.1</v>
      </c>
      <c r="E10" s="8" t="s">
        <v>40</v>
      </c>
      <c r="F10" s="6" t="s">
        <v>41</v>
      </c>
      <c r="G10" s="6" t="s">
        <v>42</v>
      </c>
      <c r="H10" s="7" t="n">
        <v>0.1</v>
      </c>
    </row>
    <row r="11" customFormat="false" ht="45.75" hidden="false" customHeight="true" outlineLevel="0" collapsed="false">
      <c r="A11" s="4" t="s">
        <v>37</v>
      </c>
      <c r="B11" s="5" t="s">
        <v>43</v>
      </c>
      <c r="C11" s="6" t="s">
        <v>44</v>
      </c>
      <c r="D11" s="7" t="n">
        <v>0.08</v>
      </c>
      <c r="E11" s="8" t="s">
        <v>45</v>
      </c>
      <c r="F11" s="6" t="s">
        <v>46</v>
      </c>
      <c r="G11" s="6" t="s">
        <v>47</v>
      </c>
      <c r="H11" s="7" t="n">
        <v>0.08</v>
      </c>
    </row>
    <row r="12" customFormat="false" ht="45.75" hidden="false" customHeight="true" outlineLevel="0" collapsed="false">
      <c r="A12" s="4" t="s">
        <v>37</v>
      </c>
      <c r="B12" s="5" t="s">
        <v>48</v>
      </c>
      <c r="C12" s="6" t="s">
        <v>49</v>
      </c>
      <c r="D12" s="7" t="n">
        <v>0.07</v>
      </c>
      <c r="E12" s="8" t="s">
        <v>50</v>
      </c>
      <c r="F12" s="6" t="s">
        <v>51</v>
      </c>
      <c r="G12" s="6" t="s">
        <v>52</v>
      </c>
      <c r="H12" s="7" t="n">
        <v>0.06</v>
      </c>
    </row>
    <row r="13" customFormat="false" ht="45.75" hidden="false" customHeight="true" outlineLevel="0" collapsed="false">
      <c r="A13" s="4" t="s">
        <v>53</v>
      </c>
      <c r="B13" s="5" t="s">
        <v>54</v>
      </c>
      <c r="C13" s="6" t="s">
        <v>55</v>
      </c>
      <c r="D13" s="7" t="n">
        <v>0.05</v>
      </c>
      <c r="E13" s="8" t="s">
        <v>56</v>
      </c>
      <c r="F13" s="6" t="s">
        <v>57</v>
      </c>
      <c r="G13" s="6" t="s">
        <v>58</v>
      </c>
      <c r="H13" s="7" t="n">
        <v>0.02</v>
      </c>
    </row>
    <row r="14" customFormat="false" ht="45.75" hidden="false" customHeight="true" outlineLevel="0" collapsed="false">
      <c r="A14" s="4" t="s">
        <v>59</v>
      </c>
      <c r="B14" s="5"/>
      <c r="C14" s="6"/>
      <c r="D14" s="7" t="n">
        <f aca="false">SUM(D5:D13)</f>
        <v>1</v>
      </c>
      <c r="E14" s="8"/>
      <c r="F14" s="6"/>
      <c r="G14" s="6"/>
      <c r="H14" s="7" t="n">
        <f aca="false">SUM(H5:H13)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52"/>
  </cols>
  <sheetData>
    <row r="1" customFormat="false" ht="15" hidden="false" customHeight="false" outlineLevel="0" collapsed="false">
      <c r="A1" s="1" t="s">
        <v>60</v>
      </c>
    </row>
    <row r="3" customFormat="false" ht="15" hidden="false" customHeight="false" outlineLevel="0" collapsed="false">
      <c r="A3" s="3" t="s">
        <v>61</v>
      </c>
      <c r="B3" s="3" t="s">
        <v>62</v>
      </c>
      <c r="C3" s="3" t="s">
        <v>63</v>
      </c>
    </row>
    <row r="4" customFormat="false" ht="39.75" hidden="false" customHeight="true" outlineLevel="0" collapsed="false">
      <c r="A4" s="8" t="s">
        <v>64</v>
      </c>
      <c r="B4" s="6" t="s">
        <v>65</v>
      </c>
      <c r="C4" s="6" t="s">
        <v>66</v>
      </c>
    </row>
    <row r="5" customFormat="false" ht="39.75" hidden="false" customHeight="true" outlineLevel="0" collapsed="false">
      <c r="A5" s="8" t="s">
        <v>67</v>
      </c>
      <c r="B5" s="6" t="s">
        <v>68</v>
      </c>
      <c r="C5" s="6" t="s">
        <v>69</v>
      </c>
    </row>
    <row r="6" customFormat="false" ht="39.75" hidden="false" customHeight="true" outlineLevel="0" collapsed="false">
      <c r="A6" s="8" t="s">
        <v>70</v>
      </c>
      <c r="B6" s="6" t="s">
        <v>71</v>
      </c>
      <c r="C6" s="6" t="s">
        <v>72</v>
      </c>
    </row>
    <row r="7" customFormat="false" ht="39.75" hidden="false" customHeight="true" outlineLevel="0" collapsed="false">
      <c r="A7" s="8" t="s">
        <v>73</v>
      </c>
      <c r="B7" s="6" t="s">
        <v>74</v>
      </c>
      <c r="C7" s="6" t="s">
        <v>75</v>
      </c>
    </row>
    <row r="8" customFormat="false" ht="39.75" hidden="false" customHeight="true" outlineLevel="0" collapsed="false">
      <c r="A8" s="8" t="s">
        <v>76</v>
      </c>
      <c r="B8" s="6" t="s">
        <v>77</v>
      </c>
      <c r="C8" s="6" t="s">
        <v>78</v>
      </c>
    </row>
    <row r="9" customFormat="false" ht="39.75" hidden="false" customHeight="true" outlineLevel="0" collapsed="false">
      <c r="A9" s="8" t="s">
        <v>79</v>
      </c>
      <c r="B9" s="6" t="s">
        <v>80</v>
      </c>
      <c r="C9" s="6" t="s">
        <v>81</v>
      </c>
    </row>
    <row r="10" customFormat="false" ht="39.75" hidden="false" customHeight="true" outlineLevel="0" collapsed="false">
      <c r="A10" s="8" t="s">
        <v>82</v>
      </c>
      <c r="B10" s="6" t="s">
        <v>83</v>
      </c>
      <c r="C10" s="6" t="s">
        <v>84</v>
      </c>
    </row>
    <row r="11" customFormat="false" ht="39.75" hidden="false" customHeight="true" outlineLevel="0" collapsed="false">
      <c r="A11" s="8" t="s">
        <v>85</v>
      </c>
      <c r="B11" s="6" t="s">
        <v>86</v>
      </c>
      <c r="C11" s="6" t="s">
        <v>87</v>
      </c>
    </row>
    <row r="12" customFormat="false" ht="39.75" hidden="false" customHeight="true" outlineLevel="0" collapsed="false">
      <c r="A12" s="8" t="s">
        <v>88</v>
      </c>
      <c r="B12" s="6" t="s">
        <v>89</v>
      </c>
      <c r="C12" s="6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2"/>
    <col collapsed="false" customWidth="true" hidden="false" outlineLevel="0" max="3" min="3" style="0" width="30.01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91</v>
      </c>
    </row>
    <row r="3" customFormat="false" ht="15" hidden="false" customHeight="false" outlineLevel="0" collapsed="false">
      <c r="A3" s="3" t="s">
        <v>92</v>
      </c>
      <c r="B3" s="3" t="s">
        <v>93</v>
      </c>
      <c r="C3" s="3" t="s">
        <v>94</v>
      </c>
      <c r="D3" s="3" t="s">
        <v>95</v>
      </c>
    </row>
    <row r="4" customFormat="false" ht="48" hidden="false" customHeight="true" outlineLevel="0" collapsed="false">
      <c r="A4" s="6" t="s">
        <v>96</v>
      </c>
      <c r="B4" s="6" t="s">
        <v>97</v>
      </c>
      <c r="C4" s="6" t="s">
        <v>98</v>
      </c>
      <c r="D4" s="8" t="s">
        <v>99</v>
      </c>
    </row>
    <row r="5" customFormat="false" ht="48" hidden="false" customHeight="true" outlineLevel="0" collapsed="false">
      <c r="A5" s="6" t="s">
        <v>100</v>
      </c>
      <c r="B5" s="6" t="s">
        <v>101</v>
      </c>
      <c r="C5" s="6" t="s">
        <v>102</v>
      </c>
      <c r="D5" s="8" t="s">
        <v>99</v>
      </c>
    </row>
    <row r="6" customFormat="false" ht="48" hidden="false" customHeight="true" outlineLevel="0" collapsed="false">
      <c r="A6" s="6" t="s">
        <v>103</v>
      </c>
      <c r="B6" s="6" t="s">
        <v>104</v>
      </c>
      <c r="C6" s="6" t="s">
        <v>105</v>
      </c>
      <c r="D6" s="8" t="s">
        <v>99</v>
      </c>
    </row>
    <row r="7" customFormat="false" ht="48" hidden="false" customHeight="true" outlineLevel="0" collapsed="false">
      <c r="A7" s="6" t="s">
        <v>106</v>
      </c>
      <c r="B7" s="6" t="s">
        <v>107</v>
      </c>
      <c r="C7" s="6" t="s">
        <v>108</v>
      </c>
      <c r="D7" s="8" t="s">
        <v>99</v>
      </c>
    </row>
    <row r="8" customFormat="false" ht="48" hidden="false" customHeight="true" outlineLevel="0" collapsed="false">
      <c r="A8" s="6" t="s">
        <v>109</v>
      </c>
      <c r="B8" s="6" t="s">
        <v>110</v>
      </c>
      <c r="C8" s="6" t="s">
        <v>111</v>
      </c>
      <c r="D8" s="8" t="s">
        <v>99</v>
      </c>
    </row>
    <row r="9" customFormat="false" ht="48" hidden="false" customHeight="true" outlineLevel="0" collapsed="false">
      <c r="A9" s="6" t="s">
        <v>112</v>
      </c>
      <c r="B9" s="6" t="s">
        <v>113</v>
      </c>
      <c r="C9" s="6" t="s">
        <v>114</v>
      </c>
      <c r="D9" s="8" t="s">
        <v>115</v>
      </c>
    </row>
    <row r="10" customFormat="false" ht="48" hidden="false" customHeight="true" outlineLevel="0" collapsed="false">
      <c r="A10" s="6" t="s">
        <v>116</v>
      </c>
      <c r="B10" s="6" t="s">
        <v>117</v>
      </c>
      <c r="C10" s="6" t="s">
        <v>118</v>
      </c>
      <c r="D10" s="8" t="s">
        <v>119</v>
      </c>
    </row>
    <row r="11" customFormat="false" ht="48" hidden="false" customHeight="true" outlineLevel="0" collapsed="false">
      <c r="A11" s="6" t="s">
        <v>120</v>
      </c>
      <c r="B11" s="6" t="s">
        <v>121</v>
      </c>
      <c r="C11" s="6" t="s">
        <v>122</v>
      </c>
      <c r="D11" s="8" t="s">
        <v>119</v>
      </c>
    </row>
    <row r="12" customFormat="false" ht="48" hidden="false" customHeight="true" outlineLevel="0" collapsed="false">
      <c r="A12" s="6" t="s">
        <v>123</v>
      </c>
      <c r="B12" s="6" t="s">
        <v>124</v>
      </c>
      <c r="C12" s="6" t="s">
        <v>125</v>
      </c>
      <c r="D12" s="8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2026-09-18T07:03:53Z</dcterms:created>
  <dc:creator>openpyxl</dc:creator>
  <dc:description/>
  <dc:language>en-US</dc:language>
  <cp:lastModifiedBy/>
  <dcterms:modified xsi:type="dcterms:W3CDTF">2026-09-18T07:03:53Z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{"Label":"1","ContentProducer":"001191440300708461136T1WFUO","ProduceID":"41650a1363711363ae97a608c4cb1433-9sMQ","ReservedCode1":"{\"Type\":\" TC260PG\",\"Version\":1,\"Bindings\":[{\"Type\":\"soft\",\"AlgID\":\"sm3\",\"Value\":\"1ce5fd2c1aed6a36cb0942ef94ba94548442342a81d74b7b221d7e94c49667c3\"},{\"Type\":\"hash\",\"AlgID\":\"sm3\",\"Value\":\"c747f64fc981d07ef0f6e5efec5cdc17efd6a4614a81f71b9327ac4964869cac\"}],\"PubSD\":[{\"Type\":\"DS\",\"AlgID\":\"sm2\",\"TBSData\":{\"Type\":\"Binding\",\"BType\":\"hash\"},\"Signature\":\"3045022100a7ba9ee560fce7cd5d1a7c8058ad70163d5a2a498b207984e79ca5e64984685c022038c4ea98e16128c6d8ec0c4812f32c948c0648c5eaf7dcef412818815cf9d8e5\"},{\"Type\":\"PubKey\",\"AlgID\":\"sm2\",\"KeyValue\":\"0407f79b28a17a752b3aae4305c98b48978213832729a2571850b1310b2bc9fe8fee039ccf25ebfeac27502414d9fcef792d777183c98893d226171c2f7a3289a2\"}],\"Extension\":{\"Timestamp\":1789715056,\"KeyVersion\":\"v1-TxLeOmf7bqU223\"}}","ContentPropagator":"001191440300708461136T1WFUO","PropagateID":"41650a1363711363ae97a608c4cb1433-9sMQ","ReservedCode2":"{\"Type\":\" TC260PG\",\"Version\":1,\"Bindings\":[{\"Type\":\"soft\",\"AlgID\":\"sm3\",\"Value\":\"1ce5fd2c1aed6a36cb0942ef94ba94548442342a81d74b7b221d7e94c49667c3\"},{\"Type\":\"hash\",\"AlgID\":\"sm3\",\"Value\":\"c747f64fc981d07ef0f6e5efec5cdc17efd6a4614a81f71b9327ac4964869cac\"}],\"PubSD\":[{\"Type\":\"DS\",\"AlgID\":\"sm2\",\"TBSData\":{\"Type\":\"Binding\",\"BType\":\"hash\"},\"Signature\":\"304602210098241528464bdf481281e6d823019327ad5a0307236f70b4ee2741570ce1423002210087d736035a5406705b841372786faa8b49ff6a93496dc9226cce274bb50d53e9\"},{\"Type\":\"PubKey\",\"AlgID\":\"sm2\",\"KeyValue\":\"0407f79b28a17a752b3aae4305c98b48978213832729a2571850b1310b2bc9fe8fee039ccf25ebfeac27502414d9fcef792d777183c98893d226171c2f7a3289a2\"}],\"Extension\":{\"Timestamp\":1789715056,\"KeyVersion\":\"v1-TxLeOmf7bqU223\"}}"}</vt:lpwstr>
  </property>
</Properties>
</file>